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Year 1 Monthly" sheetId="2" state="visible" r:id="rId4"/>
    <sheet name="3-Year Plan &amp; Valu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<sst xmlns="http://schemas.openxmlformats.org/spreadsheetml/2006/main" count="82" uniqueCount="79">
  <si>
    <t xml:space="preserve">WearWise Revenue Model — Assumptions (edit blue cells)</t>
  </si>
  <si>
    <t xml:space="preserve">GROWTH</t>
  </si>
  <si>
    <t xml:space="preserve">Starting MAU (Month 1)</t>
  </si>
  <si>
    <t xml:space="preserve">Beta launch base; edit to actual</t>
  </si>
  <si>
    <t xml:space="preserve">MoM MAU growth — Year 1</t>
  </si>
  <si>
    <t xml:space="preserve">Aggressive but achievable with viral sharing</t>
  </si>
  <si>
    <t xml:space="preserve">MoM MAU growth — Year 2</t>
  </si>
  <si>
    <t xml:space="preserve">MoM MAU growth — Year 3</t>
  </si>
  <si>
    <t xml:space="preserve">SUBSCRIPTIONS</t>
  </si>
  <si>
    <t xml:space="preserve">Plus conversion (% of MAU)</t>
  </si>
  <si>
    <t xml:space="preserve">Industry: 2-5% freemium conversion in India</t>
  </si>
  <si>
    <t xml:space="preserve">Plus price (₹/month)</t>
  </si>
  <si>
    <t xml:space="preserve">Pro conversion (% of MAU)</t>
  </si>
  <si>
    <t xml:space="preserve">Pro price (₹/month)</t>
  </si>
  <si>
    <t xml:space="preserve">OCCASION PACKS (one-time)</t>
  </si>
  <si>
    <t xml:space="preserve">Pack buyers (% of MAU per month)</t>
  </si>
  <si>
    <t xml:space="preserve">Wedding/travel/festive packs</t>
  </si>
  <si>
    <t xml:space="preserve">Average pack price (₹)</t>
  </si>
  <si>
    <t xml:space="preserve">AFFILIATE SHOPPING</t>
  </si>
  <si>
    <t xml:space="preserve">MAU clicking shop links per month</t>
  </si>
  <si>
    <t xml:space="preserve">Gap-finder recommendations</t>
  </si>
  <si>
    <t xml:space="preserve">Click-to-purchase conversion</t>
  </si>
  <si>
    <t xml:space="preserve">Average order value (₹)</t>
  </si>
  <si>
    <t xml:space="preserve">Myntra/Ajio/Nykaa typical</t>
  </si>
  <si>
    <t xml:space="preserve">Commission rate</t>
  </si>
  <si>
    <t xml:space="preserve">Fashion affiliate: 5-10%</t>
  </si>
  <si>
    <t xml:space="preserve">STYLIST MARKETPLACE (from Year 2)</t>
  </si>
  <si>
    <t xml:space="preserve">Consults (% of MAU per month)</t>
  </si>
  <si>
    <t xml:space="preserve">Consult price (₹)</t>
  </si>
  <si>
    <t xml:space="preserve">WearWise take rate</t>
  </si>
  <si>
    <t xml:space="preserve">VALUATION</t>
  </si>
  <si>
    <t xml:space="preserve">ARR multiple (Indian consumer subs)</t>
  </si>
  <si>
    <t xml:space="preserve">Consumer app range: 6-10x ARR</t>
  </si>
  <si>
    <t xml:space="preserve">Target valuation (₹)</t>
  </si>
  <si>
    <t xml:space="preserve">₹100 Crore</t>
  </si>
  <si>
    <t xml:space="preserve">REVENUE PER MAU PER MONTH (calculated)</t>
  </si>
  <si>
    <t xml:space="preserve">Subscriptions</t>
  </si>
  <si>
    <t xml:space="preserve">Occasion packs</t>
  </si>
  <si>
    <t xml:space="preserve">Affiliate</t>
  </si>
  <si>
    <t xml:space="preserve">Stylist marketplace</t>
  </si>
  <si>
    <t xml:space="preserve">Total (excl. stylist)</t>
  </si>
  <si>
    <t xml:space="preserve">Total (incl. stylist)</t>
  </si>
  <si>
    <t xml:space="preserve">Year 1 — Monthly Projection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</si>
  <si>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</si>
  <si>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</si>
  <si>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</si>
  <si>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</si>
  <si>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</si>
  <si>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</si>
  <si>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</si>
  <si>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</si>
  <si>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</si>
  <si>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</si>
  <si>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</si>
  <si>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</si>
  <si>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MAU</t>
  </si>
  <si>
    <t xml:space="preserve">Plus subscribers</t>
  </si>
  <si>
    <t xml:space="preserve">Pro subscribers</t>
  </si>
  <si>
    <t xml:space="preserve">Subscription revenue</t>
  </si>
  <si>
    <t xml:space="preserve">Occasion pack revenue</t>
  </si>
  <si>
    <t xml:space="preserve">Affiliate revenue</t>
  </si>
  <si>
    <t xml:space="preserve">Total monthly revenue</t>
  </si>
  <si>
    <t xml:space="preserve">Cumulative revenue</t>
  </si>
  <si>
    <t xml:space="preserve">Year 1 total revenue</t>
  </si>
  <si>
    <t xml:space="preserve">3-Year Plan &amp; Path to ₹100 Crore</t>
  </si>
  <si>
    <t xml:space="preserve">Year 1</t>
  </si>
  <si>
    <t xml:space="preserve">Year 2</t>
  </si>
  <si>
    <t xml:space="preserve">Year 3</t>
  </si>
  <si>
    <t xml:space="preserve">Exit MAU (month 12/24/36)</t>
  </si>
  <si>
    <t xml:space="preserve">Average MAU</t>
  </si>
  <si>
    <t xml:space="preserve">Stylist marketplace revenue</t>
  </si>
  <si>
    <t xml:space="preserve">Total annual revenue</t>
  </si>
  <si>
    <t xml:space="preserve">Exit-month ARR (run-rate)</t>
  </si>
  <si>
    <t xml:space="preserve">Implied valuation (ARR × multiple)</t>
  </si>
  <si>
    <t xml:space="preserve">PATH TO ₹100 CRORE</t>
  </si>
  <si>
    <t xml:space="preserve">Required ARR at target multiple</t>
  </si>
  <si>
    <t xml:space="preserve">Required MAU (at current per-MAU revenue)</t>
  </si>
  <si>
    <t xml:space="preserve">Levers if MAU falls short</t>
  </si>
  <si>
    <t xml:space="preserve">Raise conversion 3%→5%, add packs, grow affiliate AOV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</si>
</sst>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"/>
    <numFmt numFmtId="167" formatCode="\₹#,##0;&quot;(₹&quot;#,##0\);\-"/>
    <numFmt numFmtId="168" formatCode="0.0\x"/>
    <numFmt numFmtId="169" formatCode="\₹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2B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B4E5B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0EAE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EA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4E5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</row>
    <row r="4" customFormat="false" ht="15" hidden="false" customHeight="false" outlineLevel="0" collapsed="false">
      <c r="A4" s="4" t="s">
        <v>2</v>
      </c>
      <c r="B4" s="5" t="n">
        <v>5000</v>
      </c>
      <c r="C4" s="6" t="s">
        <v>3</v>
      </c>
    </row>
    <row r="5" customFormat="false" ht="15" hidden="false" customHeight="false" outlineLevel="0" collapsed="false">
      <c r="A5" s="4" t="s">
        <v>4</v>
      </c>
      <c r="B5" s="7" t="n">
        <v>0.2</v>
      </c>
      <c r="C5" s="6" t="s">
        <v>5</v>
      </c>
    </row>
    <row r="6" customFormat="false" ht="15" hidden="false" customHeight="false" outlineLevel="0" collapsed="false">
      <c r="A6" s="4" t="s">
        <v>6</v>
      </c>
      <c r="B6" s="8" t="n">
        <v>0.12</v>
      </c>
    </row>
    <row r="7" customFormat="false" ht="15" hidden="false" customHeight="false" outlineLevel="0" collapsed="false">
      <c r="A7" s="4" t="s">
        <v>7</v>
      </c>
      <c r="B7" s="8" t="n">
        <v>0.08</v>
      </c>
    </row>
    <row r="9" customFormat="false" ht="15" hidden="false" customHeight="false" outlineLevel="0" collapsed="false">
      <c r="A9" s="2" t="s">
        <v>8</v>
      </c>
      <c r="B9" s="3"/>
      <c r="C9" s="3"/>
    </row>
    <row r="10" customFormat="false" ht="15" hidden="false" customHeight="false" outlineLevel="0" collapsed="false">
      <c r="A10" s="4" t="s">
        <v>9</v>
      </c>
      <c r="B10" s="7" t="n">
        <v>0.03</v>
      </c>
      <c r="C10" s="6" t="s">
        <v>10</v>
      </c>
    </row>
    <row r="11" customFormat="false" ht="15" hidden="false" customHeight="false" outlineLevel="0" collapsed="false">
      <c r="A11" s="4" t="s">
        <v>11</v>
      </c>
      <c r="B11" s="9" t="n">
        <v>99</v>
      </c>
    </row>
    <row r="12" customFormat="false" ht="15" hidden="false" customHeight="false" outlineLevel="0" collapsed="false">
      <c r="A12" s="4" t="s">
        <v>12</v>
      </c>
      <c r="B12" s="8" t="n">
        <v>0.01</v>
      </c>
    </row>
    <row r="13" customFormat="false" ht="15" hidden="false" customHeight="false" outlineLevel="0" collapsed="false">
      <c r="A13" s="4" t="s">
        <v>13</v>
      </c>
      <c r="B13" s="9" t="n">
        <v>199</v>
      </c>
    </row>
    <row r="15" customFormat="false" ht="15" hidden="false" customHeight="false" outlineLevel="0" collapsed="false">
      <c r="A15" s="2" t="s">
        <v>14</v>
      </c>
      <c r="B15" s="3"/>
      <c r="C15" s="3"/>
    </row>
    <row r="16" customFormat="false" ht="15" hidden="false" customHeight="false" outlineLevel="0" collapsed="false">
      <c r="A16" s="4" t="s">
        <v>15</v>
      </c>
      <c r="B16" s="8" t="n">
        <v>0.025</v>
      </c>
      <c r="C16" s="6" t="s">
        <v>16</v>
      </c>
    </row>
    <row r="17" customFormat="false" ht="15" hidden="false" customHeight="false" outlineLevel="0" collapsed="false">
      <c r="A17" s="4" t="s">
        <v>17</v>
      </c>
      <c r="B17" s="9" t="n">
        <v>129</v>
      </c>
    </row>
    <row r="19" customFormat="false" ht="15" hidden="false" customHeight="false" outlineLevel="0" collapsed="false">
      <c r="A19" s="2" t="s">
        <v>18</v>
      </c>
      <c r="B19" s="3"/>
      <c r="C19" s="3"/>
    </row>
    <row r="20" customFormat="false" ht="15" hidden="false" customHeight="false" outlineLevel="0" collapsed="false">
      <c r="A20" s="4" t="s">
        <v>19</v>
      </c>
      <c r="B20" s="7" t="n">
        <v>0.15</v>
      </c>
      <c r="C20" s="6" t="s">
        <v>20</v>
      </c>
    </row>
    <row r="21" customFormat="false" ht="15" hidden="false" customHeight="false" outlineLevel="0" collapsed="false">
      <c r="A21" s="4" t="s">
        <v>21</v>
      </c>
      <c r="B21" s="8" t="n">
        <v>0.08</v>
      </c>
    </row>
    <row r="22" customFormat="false" ht="15" hidden="false" customHeight="false" outlineLevel="0" collapsed="false">
      <c r="A22" s="4" t="s">
        <v>22</v>
      </c>
      <c r="B22" s="9" t="n">
        <v>1600</v>
      </c>
      <c r="C22" s="6" t="s">
        <v>23</v>
      </c>
    </row>
    <row r="23" customFormat="false" ht="15" hidden="false" customHeight="false" outlineLevel="0" collapsed="false">
      <c r="A23" s="4" t="s">
        <v>24</v>
      </c>
      <c r="B23" s="8" t="n">
        <v>0.07</v>
      </c>
      <c r="C23" s="6" t="s">
        <v>25</v>
      </c>
    </row>
    <row r="25" customFormat="false" ht="15" hidden="false" customHeight="false" outlineLevel="0" collapsed="false">
      <c r="A25" s="2" t="s">
        <v>26</v>
      </c>
      <c r="B25" s="3"/>
      <c r="C25" s="3"/>
    </row>
    <row r="26" customFormat="false" ht="15" hidden="false" customHeight="false" outlineLevel="0" collapsed="false">
      <c r="A26" s="4" t="s">
        <v>27</v>
      </c>
      <c r="B26" s="8" t="n">
        <v>0.003</v>
      </c>
    </row>
    <row r="27" customFormat="false" ht="15" hidden="false" customHeight="false" outlineLevel="0" collapsed="false">
      <c r="A27" s="4" t="s">
        <v>28</v>
      </c>
      <c r="B27" s="9" t="n">
        <v>499</v>
      </c>
    </row>
    <row r="28" customFormat="false" ht="15" hidden="false" customHeight="false" outlineLevel="0" collapsed="false">
      <c r="A28" s="4" t="s">
        <v>29</v>
      </c>
      <c r="B28" s="8" t="n">
        <v>0.3</v>
      </c>
    </row>
    <row r="30" customFormat="false" ht="15" hidden="false" customHeight="false" outlineLevel="0" collapsed="false">
      <c r="A30" s="2" t="s">
        <v>30</v>
      </c>
      <c r="B30" s="3"/>
      <c r="C30" s="3"/>
    </row>
    <row r="31" customFormat="false" ht="15" hidden="false" customHeight="false" outlineLevel="0" collapsed="false">
      <c r="A31" s="4" t="s">
        <v>31</v>
      </c>
      <c r="B31" s="10" t="n">
        <v>7</v>
      </c>
      <c r="C31" s="6" t="s">
        <v>32</v>
      </c>
    </row>
    <row r="32" customFormat="false" ht="15" hidden="false" customHeight="false" outlineLevel="0" collapsed="false">
      <c r="A32" s="4" t="s">
        <v>33</v>
      </c>
      <c r="B32" s="9" t="n">
        <v>1000000000</v>
      </c>
      <c r="C32" s="6" t="s">
        <v>34</v>
      </c>
    </row>
    <row r="34" customFormat="false" ht="15" hidden="false" customHeight="false" outlineLevel="0" collapsed="false">
      <c r="A34" s="2" t="s">
        <v>35</v>
      </c>
      <c r="B34" s="3"/>
      <c r="C34" s="3"/>
    </row>
    <row r="35" customFormat="false" ht="15" hidden="false" customHeight="false" outlineLevel="0" collapsed="false">
      <c r="A35" s="4" t="s">
        <v>36</v>
      </c>
      <c r="B35" s="11" t="n">
        <f aca="false">B10*B11+B12*B13</f>
        <v>4.96</v>
      </c>
    </row>
    <row r="36" customFormat="false" ht="15" hidden="false" customHeight="false" outlineLevel="0" collapsed="false">
      <c r="A36" s="4" t="s">
        <v>37</v>
      </c>
      <c r="B36" s="11" t="n">
        <f aca="false">B16*B17</f>
        <v>3.225</v>
      </c>
    </row>
    <row r="37" customFormat="false" ht="15" hidden="false" customHeight="false" outlineLevel="0" collapsed="false">
      <c r="A37" s="4" t="s">
        <v>38</v>
      </c>
      <c r="B37" s="11" t="n">
        <f aca="false">B20*B21*B22*B23</f>
        <v>1.344</v>
      </c>
    </row>
    <row r="38" customFormat="false" ht="15" hidden="false" customHeight="false" outlineLevel="0" collapsed="false">
      <c r="A38" s="4" t="s">
        <v>39</v>
      </c>
      <c r="B38" s="11" t="n">
        <f aca="false">B26*B27*B28</f>
        <v>0.4491</v>
      </c>
    </row>
    <row r="39" customFormat="false" ht="15" hidden="false" customHeight="false" outlineLevel="0" collapsed="false">
      <c r="A39" s="12" t="s">
        <v>40</v>
      </c>
      <c r="B39" s="13" t="n">
        <f aca="false">SUM(B35:B37)</f>
        <v>9.529</v>
      </c>
    </row>
    <row r="40" customFormat="false" ht="15" hidden="false" customHeight="false" outlineLevel="0" collapsed="false">
      <c r="A40" s="12" t="s">
        <v>41</v>
      </c>
      <c r="B40" s="13" t="n">
        <f aca="false">SUM(B35:B38)</f>
        <v>9.9781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B2" s="14" t="s">
        <v>43</v>
      </c>
      <c r="C2" s="14" t="s">
        <v>44</v>
      </c>
      <c r="D2" s="14" t="s">
        <v>45</v>
      </c>
      <c r="E2" s="14" t="s">
        <v>46</v>
      </c>
      <c r="F2" s="14" t="s">
        <v>47</v>
      </c>
      <c r="G2" s="14" t="s">
        <v>48</v>
      </c>
      <c r="H2" s="14" t="s">
        <v>49</v>
      </c>
      <c r="I2" s="14" t="s">
        <v>50</v>
      </c>
      <c r="J2" s="14" t="s">
        <v>51</v>
      </c>
      <c r="K2" s="14" t="s">
        <v>52</v>
      </c>
      <c r="L2" s="14" t="s">
        <v>53</v>
      </c>
      <c r="M2" s="14" t="s">
        <v>54</v>
      </c>
    </row>
    <row r="3" customFormat="false" ht="15" hidden="false" customHeight="false" outlineLevel="0" collapsed="false">
      <c r="A3" s="4" t="s">
        <v>55</v>
      </c>
      <c r="B3" s="15" t="n">
        <f aca="false">Assumptions!B4</f>
        <v>5000</v>
      </c>
      <c r="C3" s="16" t="n">
        <f aca="false">B3*(1+Assumptions!$B$5)</f>
        <v>6000</v>
      </c>
      <c r="D3" s="16" t="n">
        <f aca="false">C3*(1+Assumptions!$B$5)</f>
        <v>7200</v>
      </c>
      <c r="E3" s="16" t="n">
        <f aca="false">D3*(1+Assumptions!$B$5)</f>
        <v>8640</v>
      </c>
      <c r="F3" s="16" t="n">
        <f aca="false">E3*(1+Assumptions!$B$5)</f>
        <v>10368</v>
      </c>
      <c r="G3" s="16" t="n">
        <f aca="false">F3*(1+Assumptions!$B$5)</f>
        <v>12441.6</v>
      </c>
      <c r="H3" s="16" t="n">
        <f aca="false">G3*(1+Assumptions!$B$5)</f>
        <v>14929.92</v>
      </c>
      <c r="I3" s="16" t="n">
        <f aca="false">H3*(1+Assumptions!$B$5)</f>
        <v>17915.904</v>
      </c>
      <c r="J3" s="16" t="n">
        <f aca="false">I3*(1+Assumptions!$B$5)</f>
        <v>21499.0848</v>
      </c>
      <c r="K3" s="16" t="n">
        <f aca="false">J3*(1+Assumptions!$B$5)</f>
        <v>25798.90176</v>
      </c>
      <c r="L3" s="16" t="n">
        <f aca="false">K3*(1+Assumptions!$B$5)</f>
        <v>30958.682112</v>
      </c>
      <c r="M3" s="16" t="n">
        <f aca="false">L3*(1+Assumptions!$B$5)</f>
        <v>37150.4185344</v>
      </c>
    </row>
    <row r="4" customFormat="false" ht="15" hidden="false" customHeight="false" outlineLevel="0" collapsed="false">
      <c r="A4" s="4" t="s">
        <v>56</v>
      </c>
      <c r="B4" s="17" t="n">
        <f aca="false">B3*Assumptions!$B$10</f>
        <v>150</v>
      </c>
      <c r="C4" s="17" t="n">
        <f aca="false">C3*Assumptions!$B$10</f>
        <v>180</v>
      </c>
      <c r="D4" s="17" t="n">
        <f aca="false">D3*Assumptions!$B$10</f>
        <v>216</v>
      </c>
      <c r="E4" s="17" t="n">
        <f aca="false">E3*Assumptions!$B$10</f>
        <v>259.2</v>
      </c>
      <c r="F4" s="17" t="n">
        <f aca="false">F3*Assumptions!$B$10</f>
        <v>311.04</v>
      </c>
      <c r="G4" s="17" t="n">
        <f aca="false">G3*Assumptions!$B$10</f>
        <v>373.248</v>
      </c>
      <c r="H4" s="17" t="n">
        <f aca="false">H3*Assumptions!$B$10</f>
        <v>447.8976</v>
      </c>
      <c r="I4" s="17" t="n">
        <f aca="false">I3*Assumptions!$B$10</f>
        <v>537.47712</v>
      </c>
      <c r="J4" s="17" t="n">
        <f aca="false">J3*Assumptions!$B$10</f>
        <v>644.972544</v>
      </c>
      <c r="K4" s="17" t="n">
        <f aca="false">K3*Assumptions!$B$10</f>
        <v>773.9670528</v>
      </c>
      <c r="L4" s="17" t="n">
        <f aca="false">L3*Assumptions!$B$10</f>
        <v>928.76046336</v>
      </c>
      <c r="M4" s="17" t="n">
        <f aca="false">M3*Assumptions!$B$10</f>
        <v>1114.512556032</v>
      </c>
    </row>
    <row r="5" customFormat="false" ht="15" hidden="false" customHeight="false" outlineLevel="0" collapsed="false">
      <c r="A5" s="4" t="s">
        <v>57</v>
      </c>
      <c r="B5" s="17" t="n">
        <f aca="false">B3*Assumptions!$B$12</f>
        <v>50</v>
      </c>
      <c r="C5" s="17" t="n">
        <f aca="false">C3*Assumptions!$B$12</f>
        <v>60</v>
      </c>
      <c r="D5" s="17" t="n">
        <f aca="false">D3*Assumptions!$B$12</f>
        <v>72</v>
      </c>
      <c r="E5" s="17" t="n">
        <f aca="false">E3*Assumptions!$B$12</f>
        <v>86.4</v>
      </c>
      <c r="F5" s="17" t="n">
        <f aca="false">F3*Assumptions!$B$12</f>
        <v>103.68</v>
      </c>
      <c r="G5" s="17" t="n">
        <f aca="false">G3*Assumptions!$B$12</f>
        <v>124.416</v>
      </c>
      <c r="H5" s="17" t="n">
        <f aca="false">H3*Assumptions!$B$12</f>
        <v>149.2992</v>
      </c>
      <c r="I5" s="17" t="n">
        <f aca="false">I3*Assumptions!$B$12</f>
        <v>179.15904</v>
      </c>
      <c r="J5" s="17" t="n">
        <f aca="false">J3*Assumptions!$B$12</f>
        <v>214.990848</v>
      </c>
      <c r="K5" s="17" t="n">
        <f aca="false">K3*Assumptions!$B$12</f>
        <v>257.9890176</v>
      </c>
      <c r="L5" s="17" t="n">
        <f aca="false">L3*Assumptions!$B$12</f>
        <v>309.58682112</v>
      </c>
      <c r="M5" s="17" t="n">
        <f aca="false">M3*Assumptions!$B$12</f>
        <v>371.504185344</v>
      </c>
    </row>
    <row r="6" customFormat="false" ht="15" hidden="false" customHeight="false" outlineLevel="0" collapsed="false">
      <c r="A6" s="4" t="s">
        <v>58</v>
      </c>
      <c r="B6" s="18" t="n">
        <f aca="false">B4*Assumptions!$B$11+B5*Assumptions!$B$13</f>
        <v>24800</v>
      </c>
      <c r="C6" s="18" t="n">
        <f aca="false">C4*Assumptions!$B$11+C5*Assumptions!$B$13</f>
        <v>29760</v>
      </c>
      <c r="D6" s="18" t="n">
        <f aca="false">D4*Assumptions!$B$11+D5*Assumptions!$B$13</f>
        <v>35712</v>
      </c>
      <c r="E6" s="18" t="n">
        <f aca="false">E4*Assumptions!$B$11+E5*Assumptions!$B$13</f>
        <v>42854.4</v>
      </c>
      <c r="F6" s="18" t="n">
        <f aca="false">F4*Assumptions!$B$11+F5*Assumptions!$B$13</f>
        <v>51425.28</v>
      </c>
      <c r="G6" s="18" t="n">
        <f aca="false">G4*Assumptions!$B$11+G5*Assumptions!$B$13</f>
        <v>61710.336</v>
      </c>
      <c r="H6" s="18" t="n">
        <f aca="false">H4*Assumptions!$B$11+H5*Assumptions!$B$13</f>
        <v>74052.4032</v>
      </c>
      <c r="I6" s="18" t="n">
        <f aca="false">I4*Assumptions!$B$11+I5*Assumptions!$B$13</f>
        <v>88862.88384</v>
      </c>
      <c r="J6" s="18" t="n">
        <f aca="false">J4*Assumptions!$B$11+J5*Assumptions!$B$13</f>
        <v>106635.460608</v>
      </c>
      <c r="K6" s="18" t="n">
        <f aca="false">K4*Assumptions!$B$11+K5*Assumptions!$B$13</f>
        <v>127962.5527296</v>
      </c>
      <c r="L6" s="18" t="n">
        <f aca="false">L4*Assumptions!$B$11+L5*Assumptions!$B$13</f>
        <v>153555.06327552</v>
      </c>
      <c r="M6" s="18" t="n">
        <f aca="false">M4*Assumptions!$B$11+M5*Assumptions!$B$13</f>
        <v>184266.075930624</v>
      </c>
    </row>
    <row r="7" customFormat="false" ht="15" hidden="false" customHeight="false" outlineLevel="0" collapsed="false">
      <c r="A7" s="4" t="s">
        <v>59</v>
      </c>
      <c r="B7" s="18" t="n">
        <f aca="false">B3*Assumptions!$B$16*Assumptions!$B$17</f>
        <v>16125</v>
      </c>
      <c r="C7" s="18" t="n">
        <f aca="false">C3*Assumptions!$B$16*Assumptions!$B$17</f>
        <v>19350</v>
      </c>
      <c r="D7" s="18" t="n">
        <f aca="false">D3*Assumptions!$B$16*Assumptions!$B$17</f>
        <v>23220</v>
      </c>
      <c r="E7" s="18" t="n">
        <f aca="false">E3*Assumptions!$B$16*Assumptions!$B$17</f>
        <v>27864</v>
      </c>
      <c r="F7" s="18" t="n">
        <f aca="false">F3*Assumptions!$B$16*Assumptions!$B$17</f>
        <v>33436.8</v>
      </c>
      <c r="G7" s="18" t="n">
        <f aca="false">G3*Assumptions!$B$16*Assumptions!$B$17</f>
        <v>40124.16</v>
      </c>
      <c r="H7" s="18" t="n">
        <f aca="false">H3*Assumptions!$B$16*Assumptions!$B$17</f>
        <v>48148.992</v>
      </c>
      <c r="I7" s="18" t="n">
        <f aca="false">I3*Assumptions!$B$16*Assumptions!$B$17</f>
        <v>57778.7904</v>
      </c>
      <c r="J7" s="18" t="n">
        <f aca="false">J3*Assumptions!$B$16*Assumptions!$B$17</f>
        <v>69334.54848</v>
      </c>
      <c r="K7" s="18" t="n">
        <f aca="false">K3*Assumptions!$B$16*Assumptions!$B$17</f>
        <v>83201.458176</v>
      </c>
      <c r="L7" s="18" t="n">
        <f aca="false">L3*Assumptions!$B$16*Assumptions!$B$17</f>
        <v>99841.7498112</v>
      </c>
      <c r="M7" s="18" t="n">
        <f aca="false">M3*Assumptions!$B$16*Assumptions!$B$17</f>
        <v>119810.09977344</v>
      </c>
    </row>
    <row r="8" customFormat="false" ht="15" hidden="false" customHeight="false" outlineLevel="0" collapsed="false">
      <c r="A8" s="4" t="s">
        <v>60</v>
      </c>
      <c r="B8" s="18" t="n">
        <f aca="false">B3*Assumptions!$B$20*Assumptions!$B$21*Assumptions!$B$22*Assumptions!$B$23</f>
        <v>6720</v>
      </c>
      <c r="C8" s="18" t="n">
        <f aca="false">C3*Assumptions!$B$20*Assumptions!$B$21*Assumptions!$B$22*Assumptions!$B$23</f>
        <v>8064</v>
      </c>
      <c r="D8" s="18" t="n">
        <f aca="false">D3*Assumptions!$B$20*Assumptions!$B$21*Assumptions!$B$22*Assumptions!$B$23</f>
        <v>9676.8</v>
      </c>
      <c r="E8" s="18" t="n">
        <f aca="false">E3*Assumptions!$B$20*Assumptions!$B$21*Assumptions!$B$22*Assumptions!$B$23</f>
        <v>11612.16</v>
      </c>
      <c r="F8" s="18" t="n">
        <f aca="false">F3*Assumptions!$B$20*Assumptions!$B$21*Assumptions!$B$22*Assumptions!$B$23</f>
        <v>13934.592</v>
      </c>
      <c r="G8" s="18" t="n">
        <f aca="false">G3*Assumptions!$B$20*Assumptions!$B$21*Assumptions!$B$22*Assumptions!$B$23</f>
        <v>16721.5104</v>
      </c>
      <c r="H8" s="18" t="n">
        <f aca="false">H3*Assumptions!$B$20*Assumptions!$B$21*Assumptions!$B$22*Assumptions!$B$23</f>
        <v>20065.81248</v>
      </c>
      <c r="I8" s="18" t="n">
        <f aca="false">I3*Assumptions!$B$20*Assumptions!$B$21*Assumptions!$B$22*Assumptions!$B$23</f>
        <v>24078.974976</v>
      </c>
      <c r="J8" s="18" t="n">
        <f aca="false">J3*Assumptions!$B$20*Assumptions!$B$21*Assumptions!$B$22*Assumptions!$B$23</f>
        <v>28894.7699712</v>
      </c>
      <c r="K8" s="18" t="n">
        <f aca="false">K3*Assumptions!$B$20*Assumptions!$B$21*Assumptions!$B$22*Assumptions!$B$23</f>
        <v>34673.72396544</v>
      </c>
      <c r="L8" s="18" t="n">
        <f aca="false">L3*Assumptions!$B$20*Assumptions!$B$21*Assumptions!$B$22*Assumptions!$B$23</f>
        <v>41608.468758528</v>
      </c>
      <c r="M8" s="18" t="n">
        <f aca="false">M3*Assumptions!$B$20*Assumptions!$B$21*Assumptions!$B$22*Assumptions!$B$23</f>
        <v>49930.1625102336</v>
      </c>
    </row>
    <row r="9" customFormat="false" ht="15" hidden="false" customHeight="false" outlineLevel="0" collapsed="false">
      <c r="A9" s="12" t="s">
        <v>61</v>
      </c>
      <c r="B9" s="19" t="n">
        <f aca="false">SUM(B6:B8)</f>
        <v>47645</v>
      </c>
      <c r="C9" s="19" t="n">
        <f aca="false">SUM(C6:C8)</f>
        <v>57174</v>
      </c>
      <c r="D9" s="19" t="n">
        <f aca="false">SUM(D6:D8)</f>
        <v>68608.8</v>
      </c>
      <c r="E9" s="19" t="n">
        <f aca="false">SUM(E6:E8)</f>
        <v>82330.56</v>
      </c>
      <c r="F9" s="19" t="n">
        <f aca="false">SUM(F6:F8)</f>
        <v>98796.672</v>
      </c>
      <c r="G9" s="19" t="n">
        <f aca="false">SUM(G6:G8)</f>
        <v>118556.0064</v>
      </c>
      <c r="H9" s="19" t="n">
        <f aca="false">SUM(H6:H8)</f>
        <v>142267.20768</v>
      </c>
      <c r="I9" s="19" t="n">
        <f aca="false">SUM(I6:I8)</f>
        <v>170720.649216</v>
      </c>
      <c r="J9" s="19" t="n">
        <f aca="false">SUM(J6:J8)</f>
        <v>204864.7790592</v>
      </c>
      <c r="K9" s="19" t="n">
        <f aca="false">SUM(K6:K8)</f>
        <v>245837.73487104</v>
      </c>
      <c r="L9" s="19" t="n">
        <f aca="false">SUM(L6:L8)</f>
        <v>295005.281845248</v>
      </c>
      <c r="M9" s="19" t="n">
        <f aca="false">SUM(M6:M8)</f>
        <v>354006.338214298</v>
      </c>
    </row>
    <row r="10" customFormat="false" ht="15" hidden="false" customHeight="false" outlineLevel="0" collapsed="false">
      <c r="A10" s="12" t="s">
        <v>62</v>
      </c>
      <c r="B10" s="19" t="n">
        <f aca="false">B9</f>
        <v>47645</v>
      </c>
      <c r="C10" s="19" t="n">
        <f aca="false">B10+C9</f>
        <v>104819</v>
      </c>
      <c r="D10" s="19" t="n">
        <f aca="false">C10+D9</f>
        <v>173427.8</v>
      </c>
      <c r="E10" s="19" t="n">
        <f aca="false">D10+E9</f>
        <v>255758.36</v>
      </c>
      <c r="F10" s="19" t="n">
        <f aca="false">E10+F9</f>
        <v>354555.032</v>
      </c>
      <c r="G10" s="19" t="n">
        <f aca="false">F10+G9</f>
        <v>473111.0384</v>
      </c>
      <c r="H10" s="19" t="n">
        <f aca="false">G10+H9</f>
        <v>615378.24608</v>
      </c>
      <c r="I10" s="19" t="n">
        <f aca="false">H10+I9</f>
        <v>786098.895296</v>
      </c>
      <c r="J10" s="19" t="n">
        <f aca="false">I10+J9</f>
        <v>990963.6743552</v>
      </c>
      <c r="K10" s="19" t="n">
        <f aca="false">J10+K9</f>
        <v>1236801.40922624</v>
      </c>
      <c r="L10" s="19" t="n">
        <f aca="false">K10+L9</f>
        <v>1531806.69107149</v>
      </c>
      <c r="M10" s="19" t="n">
        <f aca="false">L10+M9</f>
        <v>1885813.02928579</v>
      </c>
    </row>
    <row r="12" customFormat="false" ht="15" hidden="false" customHeight="false" outlineLevel="0" collapsed="false">
      <c r="A12" s="12" t="s">
        <v>63</v>
      </c>
      <c r="B12" s="19" t="n">
        <f aca="false">SUM(B9:M9)</f>
        <v>1885813.02928579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B2" s="14" t="s">
        <v>65</v>
      </c>
      <c r="C2" s="14" t="s">
        <v>66</v>
      </c>
      <c r="D2" s="14" t="s">
        <v>67</v>
      </c>
    </row>
    <row r="3" customFormat="false" ht="15" hidden="false" customHeight="false" outlineLevel="0" collapsed="false">
      <c r="A3" s="0" t="s">
        <v>68</v>
      </c>
      <c r="B3" s="15" t="n">
        <f aca="false">'Year 1 Monthly'!M3</f>
        <v>37150.4185344</v>
      </c>
      <c r="C3" s="17" t="n">
        <f aca="false">B3*(1+Assumptions!$B$6)^12</f>
        <v>144737.138723095</v>
      </c>
      <c r="D3" s="17" t="n">
        <f aca="false">C3*(1+Assumptions!$B$7)^12</f>
        <v>364472.73752638</v>
      </c>
    </row>
    <row r="4" customFormat="false" ht="15" hidden="false" customHeight="false" outlineLevel="0" collapsed="false">
      <c r="A4" s="0" t="s">
        <v>69</v>
      </c>
      <c r="B4" s="15" t="n">
        <f aca="false">(Assumptions!B4+B3)/2</f>
        <v>21075.2092672</v>
      </c>
      <c r="C4" s="17" t="n">
        <f aca="false">(B3+C3)/2</f>
        <v>90943.7786287474</v>
      </c>
      <c r="D4" s="17" t="n">
        <f aca="false">(C3+D3)/2</f>
        <v>254604.938124738</v>
      </c>
    </row>
    <row r="6" customFormat="false" ht="15" hidden="false" customHeight="false" outlineLevel="0" collapsed="false">
      <c r="A6" s="0" t="s">
        <v>58</v>
      </c>
      <c r="B6" s="18" t="n">
        <f aca="false">B4*12*Assumptions!$B$35</f>
        <v>1254396.45558374</v>
      </c>
      <c r="C6" s="18" t="n">
        <f aca="false">C4*12*Assumptions!$B$35</f>
        <v>5412973.70398304</v>
      </c>
      <c r="D6" s="18" t="n">
        <f aca="false">D4*12*Assumptions!$B$35</f>
        <v>15154085.9171844</v>
      </c>
    </row>
    <row r="7" customFormat="false" ht="15" hidden="false" customHeight="false" outlineLevel="0" collapsed="false">
      <c r="A7" s="0" t="s">
        <v>59</v>
      </c>
      <c r="B7" s="18" t="n">
        <f aca="false">B4*12*Assumptions!$B$36</f>
        <v>815610.59864064</v>
      </c>
      <c r="C7" s="18" t="n">
        <f aca="false">C4*12*Assumptions!$B$36</f>
        <v>3519524.23293252</v>
      </c>
      <c r="D7" s="18" t="n">
        <f aca="false">D4*12*Assumptions!$B$36</f>
        <v>9853211.10542735</v>
      </c>
    </row>
    <row r="8" customFormat="false" ht="15" hidden="false" customHeight="false" outlineLevel="0" collapsed="false">
      <c r="A8" s="0" t="s">
        <v>60</v>
      </c>
      <c r="B8" s="18" t="n">
        <f aca="false">B4*12*Assumptions!$B$37</f>
        <v>339900.975061402</v>
      </c>
      <c r="C8" s="18" t="n">
        <f aca="false">C4*12*Assumptions!$B$37</f>
        <v>1466741.26172444</v>
      </c>
      <c r="D8" s="18" t="n">
        <f aca="false">D4*12*Assumptions!$B$37</f>
        <v>4106268.44207577</v>
      </c>
    </row>
    <row r="9" customFormat="false" ht="15" hidden="false" customHeight="false" outlineLevel="0" collapsed="false">
      <c r="A9" s="0" t="s">
        <v>70</v>
      </c>
      <c r="B9" s="18" t="n">
        <v>0</v>
      </c>
      <c r="C9" s="18" t="n">
        <f aca="false">C4*12*Assumptions!$B$38</f>
        <v>490114.211786045</v>
      </c>
      <c r="D9" s="18" t="n">
        <f aca="false">D4*12*Assumptions!$B$38</f>
        <v>1372116.93254184</v>
      </c>
    </row>
    <row r="10" customFormat="false" ht="15" hidden="false" customHeight="false" outlineLevel="0" collapsed="false">
      <c r="A10" s="12" t="s">
        <v>71</v>
      </c>
      <c r="B10" s="19" t="n">
        <f aca="false">SUM(B6:B9)</f>
        <v>2409908.02928579</v>
      </c>
      <c r="C10" s="19" t="n">
        <f aca="false">SUM(C6:C9)</f>
        <v>10889353.410426</v>
      </c>
      <c r="D10" s="19" t="n">
        <f aca="false">SUM(D6:D9)</f>
        <v>30485682.3972293</v>
      </c>
    </row>
    <row r="12" customFormat="false" ht="15" hidden="false" customHeight="false" outlineLevel="0" collapsed="false">
      <c r="A12" s="0" t="s">
        <v>72</v>
      </c>
      <c r="B12" s="18" t="n">
        <f aca="false">B3*12*Assumptions!$B$39</f>
        <v>4248076.05857157</v>
      </c>
      <c r="C12" s="18" t="n">
        <f aca="false">C3*12*Assumptions!$B$40</f>
        <v>17330419.7267149</v>
      </c>
      <c r="D12" s="18" t="n">
        <f aca="false">D3*12*Assumptions!$B$40</f>
        <v>43640945.0677437</v>
      </c>
    </row>
    <row r="13" customFormat="false" ht="15" hidden="false" customHeight="false" outlineLevel="0" collapsed="false">
      <c r="A13" s="12" t="s">
        <v>73</v>
      </c>
      <c r="B13" s="19" t="n">
        <f aca="false">B12*Assumptions!$B$31</f>
        <v>29736532.410001</v>
      </c>
      <c r="C13" s="19" t="n">
        <f aca="false">C12*Assumptions!$B$31</f>
        <v>121312938.087005</v>
      </c>
      <c r="D13" s="19" t="n">
        <f aca="false">D12*Assumptions!$B$31</f>
        <v>305486615.474206</v>
      </c>
    </row>
    <row r="15" customFormat="false" ht="15" hidden="false" customHeight="false" outlineLevel="0" collapsed="false">
      <c r="A15" s="2" t="s">
        <v>74</v>
      </c>
      <c r="B15" s="3"/>
      <c r="C15" s="3"/>
      <c r="D15" s="3"/>
    </row>
    <row r="16" customFormat="false" ht="15" hidden="false" customHeight="false" outlineLevel="0" collapsed="false">
      <c r="A16" s="0" t="s">
        <v>75</v>
      </c>
      <c r="B16" s="18" t="n">
        <f aca="false">Assumptions!B32/Assumptions!B31</f>
        <v>142857142.857143</v>
      </c>
    </row>
    <row r="17" customFormat="false" ht="15" hidden="false" customHeight="false" outlineLevel="0" collapsed="false">
      <c r="A17" s="0" t="s">
        <v>76</v>
      </c>
      <c r="B17" s="17" t="n">
        <f aca="false">B16/12/Assumptions!B40</f>
        <v>1193089.05550775</v>
      </c>
    </row>
    <row r="18" customFormat="false" ht="15" hidden="false" customHeight="false" outlineLevel="0" collapsed="false">
      <c r="A18" s="0" t="s">
        <v>77</v>
      </c>
      <c r="B18" s="2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2026-07-02T06:13:31Z</dcterms:created>
  <dc:creator>openpyxl</dc:creator>
  <dc:description/>
  <dc:language>en-US</dc:language>
  <cp:lastModifiedBy/>
  <dcterms:modified xsi:type="dcterms:W3CDTF">2026-07-02T06:13:45Z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